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cEqgc6ghB4wKsTajieFNtmhnPxFmakzYaJ3M2NaYhUE="/>
    </ext>
  </extLst>
</workbook>
</file>

<file path=xl/sharedStrings.xml><?xml version="1.0" encoding="utf-8"?>
<sst xmlns="http://schemas.openxmlformats.org/spreadsheetml/2006/main" count="219" uniqueCount="117">
  <si>
    <t>SIGLA</t>
  </si>
  <si>
    <t>ROL</t>
  </si>
  <si>
    <t>NOMBRE</t>
  </si>
  <si>
    <t>Matriz Estructura de descomposición de tareas EDT</t>
  </si>
  <si>
    <t>VALOR HORA HH</t>
  </si>
  <si>
    <t>HORAS</t>
  </si>
  <si>
    <t>FASE PLANIFICACION</t>
  </si>
  <si>
    <t>COSTO POR HORA</t>
  </si>
  <si>
    <t>DICCIONARIO EDT</t>
  </si>
  <si>
    <t>JP</t>
  </si>
  <si>
    <t>Jefe de Proyecto</t>
  </si>
  <si>
    <t>Etapas</t>
  </si>
  <si>
    <t>DIAS</t>
  </si>
  <si>
    <t>HORAS POR ACTIVIDAD O ENTREGABLE</t>
  </si>
  <si>
    <t>ROL ACTOR</t>
  </si>
  <si>
    <t>NOMBRE ACTOR</t>
  </si>
  <si>
    <t>Fase de Planificación</t>
  </si>
  <si>
    <t>COSTO x HORA</t>
  </si>
  <si>
    <t>Sueldo mes</t>
  </si>
  <si>
    <t>Analista Programador</t>
  </si>
  <si>
    <t>AP</t>
  </si>
  <si>
    <t>DBA</t>
  </si>
  <si>
    <t>QA</t>
  </si>
  <si>
    <t>Diseñador</t>
  </si>
  <si>
    <t>Juan Miranda</t>
  </si>
  <si>
    <t>Acta de Constitución de proyecto</t>
  </si>
  <si>
    <t>Desarrollador BD</t>
  </si>
  <si>
    <t>Francisco Lobos</t>
  </si>
  <si>
    <t>Aprobación del Acta</t>
  </si>
  <si>
    <t>Matias Pizarro</t>
  </si>
  <si>
    <t>Definición de requerimientos Generales</t>
  </si>
  <si>
    <t>Calidad Y Testing</t>
  </si>
  <si>
    <t>Francisco Gonzalez</t>
  </si>
  <si>
    <t>Organización del equipo</t>
  </si>
  <si>
    <t>Enrique Sanchez</t>
  </si>
  <si>
    <t>Fase de Análisis y diseño</t>
  </si>
  <si>
    <t>Administrador BD</t>
  </si>
  <si>
    <t xml:space="preserve">Captura de requerimientos específicos </t>
  </si>
  <si>
    <t>DI</t>
  </si>
  <si>
    <t>Documento de casos de uso</t>
  </si>
  <si>
    <t>Prototipos</t>
  </si>
  <si>
    <t>TOTAL FASE PLANIFICACION</t>
  </si>
  <si>
    <t>Propuesta ERS</t>
  </si>
  <si>
    <t>Documento de arquitectura SW</t>
  </si>
  <si>
    <t>Fase de Desarrollo</t>
  </si>
  <si>
    <t xml:space="preserve">VALOR HORA HH </t>
  </si>
  <si>
    <t>FASE DISEÑO</t>
  </si>
  <si>
    <t>COSTO HH POR ROL</t>
  </si>
  <si>
    <t xml:space="preserve">Implementación ambiente de desarrollo
</t>
  </si>
  <si>
    <t>Implementación de ambiente de contenedores (Docker / Compose)</t>
  </si>
  <si>
    <t>Configuración base del ecosistema frontend y componentes de UI</t>
  </si>
  <si>
    <t xml:space="preserve">Creación de los scripts de tablas base de datos </t>
  </si>
  <si>
    <t>Módulo Autenticación</t>
  </si>
  <si>
    <t>Interfaz de autenticación</t>
  </si>
  <si>
    <t>Integración con Clerk</t>
  </si>
  <si>
    <t>Implementación de persistencia local y manejo de estado offline</t>
  </si>
  <si>
    <t>TOTAL FASE DISEÑO</t>
  </si>
  <si>
    <t>Módulo Notificaciones</t>
  </si>
  <si>
    <t>TOTAL HH</t>
  </si>
  <si>
    <t>Enviar notificaciones</t>
  </si>
  <si>
    <t>FASE DESARROLLO</t>
  </si>
  <si>
    <t>COSTO POR FASE</t>
  </si>
  <si>
    <t>Enviar correos</t>
  </si>
  <si>
    <t>Integrar API de Resend</t>
  </si>
  <si>
    <t>Módulo Administración</t>
  </si>
  <si>
    <t>Fase de Análisis y Diseño</t>
  </si>
  <si>
    <t>Gestionar Usuarios</t>
  </si>
  <si>
    <t>Gestionar Roles</t>
  </si>
  <si>
    <t>Fase de QA</t>
  </si>
  <si>
    <t>Gestionar Clínica</t>
  </si>
  <si>
    <t>Gestionar Colaboradores</t>
  </si>
  <si>
    <t>Fase de Implementación y Cierre</t>
  </si>
  <si>
    <t>TOTAL FASE DESARROLLO</t>
  </si>
  <si>
    <t>Gestionar Comunas y Sectores</t>
  </si>
  <si>
    <t>TOTAL HH FASES</t>
  </si>
  <si>
    <t>FASE PRUEBAS QA</t>
  </si>
  <si>
    <t xml:space="preserve">Margen </t>
  </si>
  <si>
    <t>Gestionar Disponibilidad</t>
  </si>
  <si>
    <t>Gestionar Horarios</t>
  </si>
  <si>
    <t>UTILIDAD</t>
  </si>
  <si>
    <t>Gestionar Servicios</t>
  </si>
  <si>
    <t>Gestionar Motivos de consulta</t>
  </si>
  <si>
    <t>PRECIO FINAL</t>
  </si>
  <si>
    <t>Gestionar Especies y Razas</t>
  </si>
  <si>
    <t>Módulo Datos</t>
  </si>
  <si>
    <t>Gestionar Tutor</t>
  </si>
  <si>
    <t>TOTAL FASE PRUEBAS QA</t>
  </si>
  <si>
    <t>Gestionar Veterinarios</t>
  </si>
  <si>
    <t>Gestionar Mascotas</t>
  </si>
  <si>
    <t>Módulo Inventario</t>
  </si>
  <si>
    <t>Gestionar Insumos Clínicos</t>
  </si>
  <si>
    <t>FASE IMPLEMENTACION Y CIERRE</t>
  </si>
  <si>
    <t>Gestionar Medicamentos</t>
  </si>
  <si>
    <t>Módulo Pagos</t>
  </si>
  <si>
    <t>Gestionar Liquidación de servicio</t>
  </si>
  <si>
    <t>Procesar pagos electrónicos</t>
  </si>
  <si>
    <t>Integrar pasarela de pagos</t>
  </si>
  <si>
    <t>Módulo Atención</t>
  </si>
  <si>
    <t>Gestionar Fichas</t>
  </si>
  <si>
    <t>Gestionar Diagnósticos</t>
  </si>
  <si>
    <t>Gestionar Historial de atenciones</t>
  </si>
  <si>
    <t>TOTAL FASE IMPLEMENTACION</t>
  </si>
  <si>
    <t>Gestionar Visitas Domiciliarias</t>
  </si>
  <si>
    <t>Gestionar Atenciones Medicas</t>
  </si>
  <si>
    <t>Módulo Reportes</t>
  </si>
  <si>
    <t>Generar Reportes</t>
  </si>
  <si>
    <t>Fase de Pruebas y QA</t>
  </si>
  <si>
    <t>Implementación ambiente de pruebas</t>
  </si>
  <si>
    <t>Desarrollo de pruebas unitarias y automatizadas para módulos críticos</t>
  </si>
  <si>
    <t>Pruebas Funcionales</t>
  </si>
  <si>
    <t>Pruebas de Integración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</si>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</sst>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;\-0\ "/>
    <numFmt numFmtId="165" formatCode="_ &quot;$&quot;* #,##0_ ;_ &quot;$&quot;* \-#,##0_ ;_ &quot;$&quot;* &quot;-&quot;_ ;_ @_ 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1.0"/>
      <color rgb="FF000000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2" fontId="2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1" fillId="0" fontId="2" numFmtId="0" xfId="0" applyBorder="1" applyFont="1"/>
    <xf borderId="8" fillId="0" fontId="2" numFmtId="0" xfId="0" applyAlignment="1" applyBorder="1" applyFont="1">
      <alignment horizontal="center" vertical="center"/>
    </xf>
    <xf borderId="9" fillId="0" fontId="4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0" fillId="0" fontId="4" numFmtId="0" xfId="0" applyBorder="1" applyFont="1"/>
    <xf borderId="1" fillId="0" fontId="2" numFmtId="1" xfId="0" applyBorder="1" applyFont="1" applyNumberFormat="1"/>
    <xf borderId="1" fillId="2" fontId="2" numFmtId="0" xfId="0" applyAlignment="1" applyBorder="1" applyFill="1" applyFont="1">
      <alignment horizontal="center" vertical="center"/>
    </xf>
    <xf borderId="1" fillId="0" fontId="2" numFmtId="164" xfId="0" applyBorder="1" applyFont="1" applyNumberFormat="1"/>
    <xf borderId="11" fillId="2" fontId="2" numFmtId="0" xfId="0" applyAlignment="1" applyBorder="1" applyFill="1" applyFont="1">
      <alignment shrinkToFit="0" vertical="center" wrapText="1"/>
    </xf>
    <xf borderId="1" fillId="0" fontId="2" numFmtId="165" xfId="0" applyBorder="1" applyFont="1" applyNumberFormat="1"/>
    <xf borderId="1" fillId="2" fontId="2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2" fillId="4" fontId="5" numFmtId="0" xfId="0" applyAlignment="1" applyBorder="1" applyFill="1" applyFont="1">
      <alignment shrinkToFit="0" vertical="center" wrapText="1"/>
    </xf>
    <xf borderId="1" fillId="0" fontId="2" numFmtId="1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readingOrder="0" vertical="center"/>
    </xf>
    <xf borderId="1" fillId="0" fontId="2" numFmtId="3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8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/>
    </xf>
    <xf borderId="12" fillId="4" fontId="5" numFmtId="0" xfId="0" applyAlignment="1" applyBorder="1" applyFill="1" applyFont="1">
      <alignment readingOrder="0" shrinkToFit="0" vertical="center" wrapText="1"/>
    </xf>
    <xf borderId="1" fillId="5" fontId="2" numFmtId="0" xfId="0" applyAlignment="1" applyBorder="1" applyFill="1" applyFont="1">
      <alignment readingOrder="0" shrinkToFit="0" vertical="center" wrapText="1"/>
    </xf>
    <xf borderId="1" fillId="5" fontId="2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horizontal="center" vertical="center"/>
    </xf>
    <xf borderId="8" fillId="4" fontId="5" numFmtId="0" xfId="0" applyAlignment="1" applyBorder="1" applyFill="1" applyFont="1">
      <alignment readingOrder="0" shrinkToFit="0" vertical="center" wrapText="1"/>
    </xf>
    <xf borderId="1" fillId="6" fontId="6" numFmtId="0" xfId="0" applyBorder="1" applyFill="1" applyFont="1"/>
    <xf borderId="1" fillId="6" fontId="6" numFmtId="165" xfId="0" applyBorder="1" applyFill="1" applyFont="1" applyNumberFormat="1"/>
    <xf borderId="1" fillId="0" fontId="2" numFmtId="9" xfId="0" applyBorder="1" applyFont="1" applyNumberFormat="1"/>
    <xf borderId="10" fillId="0" fontId="2" numFmtId="0" xfId="0" applyAlignment="1" applyBorder="1" applyFont="1">
      <alignment horizontal="center"/>
    </xf>
    <xf borderId="12" fillId="4" fontId="5" numFmtId="0" xfId="0" applyAlignment="1" applyBorder="1" applyFill="1" applyFont="1">
      <alignment horizontal="left" shrinkToFit="0" vertical="center" wrapText="1"/>
    </xf>
    <xf borderId="12" fillId="4" fontId="5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43"/>
    <col customWidth="1" min="2" max="2" width="7.43"/>
    <col customWidth="1" min="3" max="3" width="10.71"/>
    <col customWidth="1" min="4" max="4" width="12.86"/>
    <col customWidth="1" min="5" max="5" width="9.14"/>
    <col customWidth="1" min="6" max="6" width="8.14"/>
    <col customWidth="1" min="7" max="7" width="12.0"/>
    <col customWidth="1" min="8" max="8" width="5.0"/>
    <col customWidth="1" min="9" max="9" width="23.29"/>
    <col customWidth="1" min="10" max="10" width="31.86"/>
    <col customWidth="1" min="11" max="26" width="10.71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" t="s">
        <v>3</v>
      </c>
      <c r="B2" s="6"/>
      <c r="C2" s="6"/>
      <c r="D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2"/>
      <c r="C3" s="2"/>
      <c r="D3" s="2"/>
      <c r="E3" s="2"/>
      <c r="F3" s="2"/>
      <c r="G3" s="2"/>
      <c r="H3" s="2"/>
      <c r="I3" s="12" t="s">
        <v>8</v>
      </c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4" t="s">
        <v>11</v>
      </c>
      <c r="B4" s="15" t="s">
        <v>12</v>
      </c>
      <c r="C4" s="12" t="s">
        <v>13</v>
      </c>
      <c r="D4" s="16"/>
      <c r="E4" s="16"/>
      <c r="F4" s="16"/>
      <c r="G4" s="13"/>
      <c r="H4" s="2"/>
      <c r="I4" s="18" t="s">
        <v>14</v>
      </c>
      <c r="J4" s="18" t="s">
        <v>15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0" t="s">
        <v>16</v>
      </c>
      <c r="B5" s="22">
        <f>SUM(B6:B9)</f>
        <v>7</v>
      </c>
      <c r="C5" s="23" t="s">
        <v>10</v>
      </c>
      <c r="D5" s="23" t="s">
        <v>19</v>
      </c>
      <c r="E5" s="23" t="s">
        <v>21</v>
      </c>
      <c r="F5" s="23" t="s">
        <v>22</v>
      </c>
      <c r="G5" s="23" t="s">
        <v>23</v>
      </c>
      <c r="H5" s="2"/>
      <c r="I5" s="24" t="s">
        <v>10</v>
      </c>
      <c r="J5" s="25" t="s">
        <v>24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 outlineLevel="1">
      <c r="A6" s="26" t="s">
        <v>25</v>
      </c>
      <c r="B6" s="24">
        <f t="shared" ref="B6:B9" si="1">SUM(C6:G6)/8</f>
        <v>2</v>
      </c>
      <c r="C6" s="28">
        <v>8.0</v>
      </c>
      <c r="D6" s="28">
        <v>8.0</v>
      </c>
      <c r="E6" s="15"/>
      <c r="F6" s="15"/>
      <c r="G6" s="15"/>
      <c r="H6" s="2"/>
      <c r="I6" s="24" t="s">
        <v>19</v>
      </c>
      <c r="J6" s="30" t="s">
        <v>27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 outlineLevel="1">
      <c r="A7" s="26" t="s">
        <v>28</v>
      </c>
      <c r="B7" s="24">
        <f t="shared" si="1"/>
        <v>0.5</v>
      </c>
      <c r="C7" s="28">
        <v>4.0</v>
      </c>
      <c r="D7" s="15"/>
      <c r="E7" s="15"/>
      <c r="F7" s="15"/>
      <c r="G7" s="15"/>
      <c r="H7" s="2"/>
      <c r="I7" s="24" t="s">
        <v>21</v>
      </c>
      <c r="J7" s="25" t="s">
        <v>29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 outlineLevel="1">
      <c r="A8" s="26" t="s">
        <v>30</v>
      </c>
      <c r="B8" s="24">
        <f t="shared" si="1"/>
        <v>1.5</v>
      </c>
      <c r="C8" s="28">
        <v>8.0</v>
      </c>
      <c r="D8" s="28">
        <v>4.0</v>
      </c>
      <c r="E8" s="15"/>
      <c r="F8" s="15"/>
      <c r="G8" s="15"/>
      <c r="H8" s="2"/>
      <c r="I8" s="24" t="s">
        <v>22</v>
      </c>
      <c r="J8" s="25" t="s">
        <v>32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 outlineLevel="1">
      <c r="A9" s="26" t="s">
        <v>33</v>
      </c>
      <c r="B9" s="24">
        <f t="shared" si="1"/>
        <v>3</v>
      </c>
      <c r="C9" s="28">
        <v>8.0</v>
      </c>
      <c r="D9" s="28">
        <v>4.0</v>
      </c>
      <c r="E9" s="28">
        <v>4.0</v>
      </c>
      <c r="F9" s="28">
        <v>4.0</v>
      </c>
      <c r="G9" s="28">
        <v>4.0</v>
      </c>
      <c r="H9" s="2"/>
      <c r="I9" s="24" t="s">
        <v>23</v>
      </c>
      <c r="J9" s="25" t="s">
        <v>34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1" t="s">
        <v>35</v>
      </c>
      <c r="B10" s="22">
        <f>SUM(B11:B15)</f>
        <v>14</v>
      </c>
      <c r="C10" s="23" t="s">
        <v>10</v>
      </c>
      <c r="D10" s="23" t="s">
        <v>19</v>
      </c>
      <c r="E10" s="23" t="s">
        <v>21</v>
      </c>
      <c r="F10" s="23" t="s">
        <v>22</v>
      </c>
      <c r="G10" s="23" t="s">
        <v>23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 outlineLevel="1">
      <c r="A11" s="26" t="s">
        <v>37</v>
      </c>
      <c r="B11" s="24">
        <f t="shared" ref="B11:B15" si="2">SUM(C11:G11)/8</f>
        <v>2.5</v>
      </c>
      <c r="C11" s="28">
        <v>12.0</v>
      </c>
      <c r="D11" s="28">
        <v>8.0</v>
      </c>
      <c r="E11" s="15"/>
      <c r="F11" s="15"/>
      <c r="G11" s="1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 outlineLevel="1">
      <c r="A12" s="26" t="s">
        <v>39</v>
      </c>
      <c r="B12" s="24">
        <f t="shared" si="2"/>
        <v>1.5</v>
      </c>
      <c r="C12" s="24"/>
      <c r="D12" s="28">
        <v>12.0</v>
      </c>
      <c r="E12" s="15"/>
      <c r="F12" s="15"/>
      <c r="G12" s="1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 outlineLevel="1">
      <c r="A13" s="26" t="s">
        <v>40</v>
      </c>
      <c r="B13" s="24">
        <f t="shared" si="2"/>
        <v>4</v>
      </c>
      <c r="C13" s="33">
        <v>8.0</v>
      </c>
      <c r="D13" s="34"/>
      <c r="E13" s="15"/>
      <c r="F13" s="15"/>
      <c r="G13" s="28">
        <v>24.0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 outlineLevel="1">
      <c r="A14" s="26" t="s">
        <v>42</v>
      </c>
      <c r="B14" s="24">
        <f t="shared" si="2"/>
        <v>2</v>
      </c>
      <c r="C14" s="33">
        <v>16.0</v>
      </c>
      <c r="D14" s="34"/>
      <c r="E14" s="15"/>
      <c r="F14" s="15"/>
      <c r="G14" s="1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 outlineLevel="1">
      <c r="A15" s="36" t="s">
        <v>43</v>
      </c>
      <c r="B15" s="24">
        <f t="shared" si="2"/>
        <v>4</v>
      </c>
      <c r="C15" s="28">
        <v>24.0</v>
      </c>
      <c r="D15" s="33">
        <v>8.0</v>
      </c>
      <c r="E15" s="15"/>
      <c r="F15" s="15"/>
      <c r="G15" s="1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1" t="s">
        <v>44</v>
      </c>
      <c r="B16" s="22">
        <f>B17+B21+B25+B29+B40+B44+B47+B51+B57</f>
        <v>39</v>
      </c>
      <c r="C16" s="23" t="s">
        <v>10</v>
      </c>
      <c r="D16" s="23" t="s">
        <v>19</v>
      </c>
      <c r="E16" s="23" t="s">
        <v>21</v>
      </c>
      <c r="F16" s="23" t="s">
        <v>22</v>
      </c>
      <c r="G16" s="23" t="s">
        <v>23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 outlineLevel="1">
      <c r="A17" s="37" t="s">
        <v>48</v>
      </c>
      <c r="B17" s="38">
        <f>SUM(B18:B20)</f>
        <v>4</v>
      </c>
      <c r="C17" s="39"/>
      <c r="D17" s="39"/>
      <c r="E17" s="39"/>
      <c r="F17" s="39"/>
      <c r="G17" s="3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outlineLevel="1">
      <c r="A18" s="36" t="s">
        <v>49</v>
      </c>
      <c r="B18" s="24">
        <f t="shared" ref="B18:B20" si="3">SUM(C18:G18)/8</f>
        <v>1</v>
      </c>
      <c r="C18" s="15"/>
      <c r="D18" s="28">
        <v>8.0</v>
      </c>
      <c r="E18" s="15"/>
      <c r="F18" s="15"/>
      <c r="G18" s="1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outlineLevel="1">
      <c r="A19" s="36" t="s">
        <v>50</v>
      </c>
      <c r="B19" s="24">
        <f t="shared" si="3"/>
        <v>1</v>
      </c>
      <c r="C19" s="15"/>
      <c r="D19" s="28">
        <v>8.0</v>
      </c>
      <c r="E19" s="1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 outlineLevel="1">
      <c r="A20" s="36" t="s">
        <v>51</v>
      </c>
      <c r="B20" s="24">
        <f t="shared" si="3"/>
        <v>2</v>
      </c>
      <c r="C20" s="15"/>
      <c r="D20" s="15"/>
      <c r="E20" s="28">
        <v>16.0</v>
      </c>
      <c r="F20" s="15"/>
      <c r="G20" s="1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 outlineLevel="1">
      <c r="A21" s="37" t="s">
        <v>52</v>
      </c>
      <c r="B21" s="37">
        <f>SUM(B22:B24)</f>
        <v>4</v>
      </c>
      <c r="C21" s="37"/>
      <c r="D21" s="37"/>
      <c r="E21" s="37"/>
      <c r="F21" s="37"/>
      <c r="G21" s="3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 outlineLevel="1">
      <c r="A22" s="36" t="s">
        <v>53</v>
      </c>
      <c r="B22" s="24">
        <f t="shared" ref="B22:B24" si="4">SUM(C22:G22)/8</f>
        <v>1</v>
      </c>
      <c r="C22" s="15"/>
      <c r="D22" s="28">
        <v>4.0</v>
      </c>
      <c r="E22" s="15"/>
      <c r="F22" s="15"/>
      <c r="G22" s="28">
        <v>4.0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 outlineLevel="1">
      <c r="A23" s="40" t="s">
        <v>54</v>
      </c>
      <c r="B23" s="24">
        <f t="shared" si="4"/>
        <v>2</v>
      </c>
      <c r="C23" s="15"/>
      <c r="D23" s="28">
        <v>16.0</v>
      </c>
      <c r="E23" s="15"/>
      <c r="F23" s="15"/>
      <c r="G23" s="1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outlineLevel="1">
      <c r="A24" s="40" t="s">
        <v>55</v>
      </c>
      <c r="B24" s="24">
        <f t="shared" si="4"/>
        <v>1</v>
      </c>
      <c r="C24" s="15"/>
      <c r="D24" s="28">
        <v>8.0</v>
      </c>
      <c r="E24" s="15"/>
      <c r="F24" s="15"/>
      <c r="G24" s="1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 outlineLevel="1">
      <c r="A25" s="37" t="s">
        <v>57</v>
      </c>
      <c r="B25" s="37">
        <f>SUM(B26:B28)</f>
        <v>5</v>
      </c>
      <c r="C25" s="37"/>
      <c r="D25" s="37"/>
      <c r="E25" s="37"/>
      <c r="F25" s="37"/>
      <c r="G25" s="3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 outlineLevel="1">
      <c r="A26" s="40" t="s">
        <v>59</v>
      </c>
      <c r="B26" s="24">
        <f t="shared" ref="B26:B28" si="5">SUM(C26:G26)/8</f>
        <v>1.5</v>
      </c>
      <c r="C26" s="15"/>
      <c r="D26" s="28">
        <v>8.0</v>
      </c>
      <c r="E26" s="15"/>
      <c r="F26" s="15"/>
      <c r="G26" s="28">
        <v>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 outlineLevel="1">
      <c r="A27" s="40" t="s">
        <v>62</v>
      </c>
      <c r="B27" s="24">
        <f t="shared" si="5"/>
        <v>1.5</v>
      </c>
      <c r="C27" s="15"/>
      <c r="D27" s="28">
        <v>8.0</v>
      </c>
      <c r="E27" s="15"/>
      <c r="F27" s="15"/>
      <c r="G27" s="28">
        <v>4.0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 outlineLevel="1">
      <c r="A28" s="40" t="s">
        <v>63</v>
      </c>
      <c r="B28" s="24">
        <f t="shared" si="5"/>
        <v>2</v>
      </c>
      <c r="C28" s="15"/>
      <c r="D28" s="28">
        <v>16.0</v>
      </c>
      <c r="E28" s="15"/>
      <c r="F28" s="15"/>
      <c r="G28" s="1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 outlineLevel="1">
      <c r="A29" s="37" t="s">
        <v>64</v>
      </c>
      <c r="B29" s="37">
        <f>SUM(B30:B39)</f>
        <v>10</v>
      </c>
      <c r="C29" s="37"/>
      <c r="D29" s="37"/>
      <c r="E29" s="37"/>
      <c r="F29" s="37"/>
      <c r="G29" s="3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 outlineLevel="1">
      <c r="A30" s="40" t="s">
        <v>66</v>
      </c>
      <c r="B30" s="24">
        <f t="shared" ref="B30:B39" si="6">SUM(C30:G30)/8</f>
        <v>1</v>
      </c>
      <c r="C30" s="15"/>
      <c r="D30" s="28">
        <v>4.0</v>
      </c>
      <c r="E30" s="15"/>
      <c r="F30" s="15"/>
      <c r="G30" s="28">
        <v>4.0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 outlineLevel="1">
      <c r="A31" s="40" t="s">
        <v>67</v>
      </c>
      <c r="B31" s="24">
        <f t="shared" si="6"/>
        <v>1</v>
      </c>
      <c r="C31" s="15"/>
      <c r="D31" s="28">
        <v>4.0</v>
      </c>
      <c r="E31" s="15"/>
      <c r="F31" s="15"/>
      <c r="G31" s="28">
        <v>4.0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 outlineLevel="1">
      <c r="A32" s="40" t="s">
        <v>69</v>
      </c>
      <c r="B32" s="24">
        <f t="shared" si="6"/>
        <v>1</v>
      </c>
      <c r="C32" s="15"/>
      <c r="D32" s="28">
        <v>4.0</v>
      </c>
      <c r="E32" s="15"/>
      <c r="F32" s="15"/>
      <c r="G32" s="28">
        <v>4.0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 outlineLevel="1">
      <c r="A33" s="40" t="s">
        <v>70</v>
      </c>
      <c r="B33" s="24">
        <f t="shared" si="6"/>
        <v>1</v>
      </c>
      <c r="C33" s="15"/>
      <c r="D33" s="28">
        <v>4.0</v>
      </c>
      <c r="E33" s="15"/>
      <c r="F33" s="15"/>
      <c r="G33" s="28">
        <v>4.0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 outlineLevel="1">
      <c r="A34" s="40" t="s">
        <v>73</v>
      </c>
      <c r="B34" s="24">
        <f t="shared" si="6"/>
        <v>1</v>
      </c>
      <c r="C34" s="15"/>
      <c r="D34" s="28">
        <v>4.0</v>
      </c>
      <c r="E34" s="15"/>
      <c r="F34" s="15"/>
      <c r="G34" s="28">
        <v>4.0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 outlineLevel="1">
      <c r="A35" s="40" t="s">
        <v>77</v>
      </c>
      <c r="B35" s="24">
        <f t="shared" si="6"/>
        <v>1</v>
      </c>
      <c r="C35" s="15"/>
      <c r="D35" s="28">
        <v>4.0</v>
      </c>
      <c r="E35" s="15"/>
      <c r="F35" s="15"/>
      <c r="G35" s="28">
        <v>4.0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 outlineLevel="1">
      <c r="A36" s="40" t="s">
        <v>78</v>
      </c>
      <c r="B36" s="24">
        <f t="shared" si="6"/>
        <v>1</v>
      </c>
      <c r="C36" s="15"/>
      <c r="D36" s="28">
        <v>4.0</v>
      </c>
      <c r="E36" s="15"/>
      <c r="F36" s="15"/>
      <c r="G36" s="28">
        <v>4.0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 outlineLevel="1">
      <c r="A37" s="40" t="s">
        <v>80</v>
      </c>
      <c r="B37" s="24">
        <f t="shared" si="6"/>
        <v>1</v>
      </c>
      <c r="C37" s="15"/>
      <c r="D37" s="28">
        <v>4.0</v>
      </c>
      <c r="E37" s="15"/>
      <c r="F37" s="15"/>
      <c r="G37" s="28">
        <v>4.0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 outlineLevel="1">
      <c r="A38" s="40" t="s">
        <v>81</v>
      </c>
      <c r="B38" s="24">
        <f t="shared" si="6"/>
        <v>1</v>
      </c>
      <c r="C38" s="15"/>
      <c r="D38" s="28">
        <v>4.0</v>
      </c>
      <c r="E38" s="15"/>
      <c r="F38" s="15"/>
      <c r="G38" s="28">
        <v>4.0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 outlineLevel="1">
      <c r="A39" s="40" t="s">
        <v>83</v>
      </c>
      <c r="B39" s="24">
        <f t="shared" si="6"/>
        <v>1</v>
      </c>
      <c r="C39" s="15"/>
      <c r="D39" s="28">
        <v>4.0</v>
      </c>
      <c r="E39" s="15"/>
      <c r="F39" s="15"/>
      <c r="G39" s="28">
        <v>4.0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 outlineLevel="1">
      <c r="A40" s="37" t="s">
        <v>84</v>
      </c>
      <c r="B40" s="37">
        <f>SUM(B41:B43)</f>
        <v>3</v>
      </c>
      <c r="C40" s="37"/>
      <c r="D40" s="37"/>
      <c r="E40" s="37"/>
      <c r="F40" s="37"/>
      <c r="G40" s="3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 outlineLevel="1">
      <c r="A41" s="40" t="s">
        <v>85</v>
      </c>
      <c r="B41" s="24">
        <f t="shared" ref="B41:B43" si="7">SUM(C41:G41)/8</f>
        <v>1</v>
      </c>
      <c r="C41" s="15"/>
      <c r="D41" s="28">
        <v>4.0</v>
      </c>
      <c r="E41" s="15"/>
      <c r="F41" s="15"/>
      <c r="G41" s="28">
        <v>4.0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 outlineLevel="1">
      <c r="A42" s="40" t="s">
        <v>87</v>
      </c>
      <c r="B42" s="24">
        <f t="shared" si="7"/>
        <v>1</v>
      </c>
      <c r="C42" s="15"/>
      <c r="D42" s="28">
        <v>4.0</v>
      </c>
      <c r="E42" s="15"/>
      <c r="F42" s="15"/>
      <c r="G42" s="28">
        <v>4.0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 outlineLevel="1">
      <c r="A43" s="40" t="s">
        <v>88</v>
      </c>
      <c r="B43" s="24">
        <f t="shared" si="7"/>
        <v>1</v>
      </c>
      <c r="C43" s="15"/>
      <c r="D43" s="28">
        <v>4.0</v>
      </c>
      <c r="E43" s="15"/>
      <c r="F43" s="15"/>
      <c r="G43" s="28">
        <v>4.0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 outlineLevel="1">
      <c r="A44" s="37" t="s">
        <v>89</v>
      </c>
      <c r="B44" s="37">
        <f>B45+B46</f>
        <v>2</v>
      </c>
      <c r="C44" s="37"/>
      <c r="D44" s="37"/>
      <c r="E44" s="37"/>
      <c r="F44" s="37"/>
      <c r="G44" s="3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 outlineLevel="1">
      <c r="A45" s="40" t="s">
        <v>90</v>
      </c>
      <c r="B45" s="24">
        <f t="shared" ref="B45:B46" si="8">SUM(C45:G45)/8</f>
        <v>1</v>
      </c>
      <c r="C45" s="15"/>
      <c r="D45" s="28">
        <v>4.0</v>
      </c>
      <c r="E45" s="15"/>
      <c r="F45" s="15"/>
      <c r="G45" s="28">
        <v>4.0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 outlineLevel="1">
      <c r="A46" s="40" t="s">
        <v>92</v>
      </c>
      <c r="B46" s="24">
        <f t="shared" si="8"/>
        <v>1</v>
      </c>
      <c r="C46" s="15"/>
      <c r="D46" s="28">
        <v>4.0</v>
      </c>
      <c r="E46" s="15"/>
      <c r="F46" s="15"/>
      <c r="G46" s="28">
        <v>4.0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 outlineLevel="1">
      <c r="A47" s="37" t="s">
        <v>93</v>
      </c>
      <c r="B47" s="37">
        <f>SUM(B48:B50)</f>
        <v>4.5</v>
      </c>
      <c r="C47" s="37"/>
      <c r="D47" s="37"/>
      <c r="E47" s="37"/>
      <c r="F47" s="37"/>
      <c r="G47" s="3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 outlineLevel="1">
      <c r="A48" s="40" t="s">
        <v>94</v>
      </c>
      <c r="B48" s="24">
        <f t="shared" ref="B48:B50" si="9">SUM(C48:G48)/8</f>
        <v>1</v>
      </c>
      <c r="C48" s="15"/>
      <c r="D48" s="28">
        <v>4.0</v>
      </c>
      <c r="E48" s="15"/>
      <c r="F48" s="15"/>
      <c r="G48" s="28">
        <v>4.0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 outlineLevel="1">
      <c r="A49" s="40" t="s">
        <v>95</v>
      </c>
      <c r="B49" s="24">
        <f t="shared" si="9"/>
        <v>1.5</v>
      </c>
      <c r="C49" s="15"/>
      <c r="D49" s="28">
        <v>8.0</v>
      </c>
      <c r="E49" s="15"/>
      <c r="F49" s="15"/>
      <c r="G49" s="28">
        <v>4.0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 outlineLevel="1">
      <c r="A50" s="40" t="s">
        <v>96</v>
      </c>
      <c r="B50" s="24">
        <f t="shared" si="9"/>
        <v>2</v>
      </c>
      <c r="C50" s="15"/>
      <c r="D50" s="28">
        <v>16.0</v>
      </c>
      <c r="E50" s="15"/>
      <c r="F50" s="15"/>
      <c r="G50" s="1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 outlineLevel="1">
      <c r="A51" s="37" t="s">
        <v>97</v>
      </c>
      <c r="B51" s="37">
        <f>SUM(B52:B56)</f>
        <v>5</v>
      </c>
      <c r="C51" s="37"/>
      <c r="D51" s="37"/>
      <c r="E51" s="37"/>
      <c r="F51" s="37"/>
      <c r="G51" s="3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 outlineLevel="1">
      <c r="A52" s="40" t="s">
        <v>98</v>
      </c>
      <c r="B52" s="24">
        <f t="shared" ref="B52:B56" si="10">SUM(C52:G52)/8</f>
        <v>1</v>
      </c>
      <c r="C52" s="15"/>
      <c r="D52" s="28">
        <v>4.0</v>
      </c>
      <c r="E52" s="15"/>
      <c r="F52" s="15"/>
      <c r="G52" s="28">
        <v>4.0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 outlineLevel="1">
      <c r="A53" s="40" t="s">
        <v>99</v>
      </c>
      <c r="B53" s="24">
        <f t="shared" si="10"/>
        <v>1</v>
      </c>
      <c r="C53" s="15"/>
      <c r="D53" s="28">
        <v>4.0</v>
      </c>
      <c r="E53" s="15"/>
      <c r="F53" s="15"/>
      <c r="G53" s="28">
        <v>4.0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 outlineLevel="1">
      <c r="A54" s="40" t="s">
        <v>100</v>
      </c>
      <c r="B54" s="24">
        <f t="shared" si="10"/>
        <v>1</v>
      </c>
      <c r="C54" s="15"/>
      <c r="D54" s="28">
        <v>4.0</v>
      </c>
      <c r="E54" s="15"/>
      <c r="F54" s="15"/>
      <c r="G54" s="28">
        <v>4.0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 outlineLevel="1">
      <c r="A55" s="40" t="s">
        <v>102</v>
      </c>
      <c r="B55" s="24">
        <f t="shared" si="10"/>
        <v>1</v>
      </c>
      <c r="C55" s="15"/>
      <c r="D55" s="28">
        <v>4.0</v>
      </c>
      <c r="E55" s="15"/>
      <c r="F55" s="15"/>
      <c r="G55" s="28">
        <v>4.0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 outlineLevel="1">
      <c r="A56" s="40" t="s">
        <v>103</v>
      </c>
      <c r="B56" s="24">
        <f t="shared" si="10"/>
        <v>1</v>
      </c>
      <c r="C56" s="15"/>
      <c r="D56" s="28">
        <v>4.0</v>
      </c>
      <c r="E56" s="15"/>
      <c r="F56" s="15"/>
      <c r="G56" s="28">
        <v>4.0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 outlineLevel="1">
      <c r="A57" s="37" t="s">
        <v>104</v>
      </c>
      <c r="B57" s="37">
        <f>B58</f>
        <v>1.5</v>
      </c>
      <c r="C57" s="37"/>
      <c r="D57" s="37"/>
      <c r="E57" s="37"/>
      <c r="F57" s="37"/>
      <c r="G57" s="3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 outlineLevel="1">
      <c r="A58" s="40" t="s">
        <v>105</v>
      </c>
      <c r="B58" s="24">
        <f>SUM(C58:G58)/8</f>
        <v>1.5</v>
      </c>
      <c r="C58" s="15"/>
      <c r="D58" s="28">
        <v>8.0</v>
      </c>
      <c r="E58" s="15"/>
      <c r="F58" s="15"/>
      <c r="G58" s="28">
        <v>4.0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31" t="s">
        <v>106</v>
      </c>
      <c r="B59" s="22">
        <f>SUM(B60:B64)</f>
        <v>10</v>
      </c>
      <c r="C59" s="23" t="s">
        <v>10</v>
      </c>
      <c r="D59" s="23" t="s">
        <v>19</v>
      </c>
      <c r="E59" s="23" t="s">
        <v>21</v>
      </c>
      <c r="F59" s="23" t="s">
        <v>22</v>
      </c>
      <c r="G59" s="23" t="s">
        <v>23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45" t="s">
        <v>107</v>
      </c>
      <c r="B60" s="24">
        <f t="shared" ref="B60:B64" si="11">SUM(C60:G60)/8</f>
        <v>3</v>
      </c>
      <c r="C60" s="25">
        <v>4.0</v>
      </c>
      <c r="D60" s="25">
        <v>4.0</v>
      </c>
      <c r="E60" s="25">
        <v>4.0</v>
      </c>
      <c r="F60" s="25">
        <v>12.0</v>
      </c>
      <c r="G60" s="2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46" t="s">
        <v>108</v>
      </c>
      <c r="B61" s="24">
        <f t="shared" si="11"/>
        <v>2</v>
      </c>
      <c r="C61" s="24"/>
      <c r="D61" s="25"/>
      <c r="E61" s="24"/>
      <c r="F61" s="25">
        <v>16.0</v>
      </c>
      <c r="G61" s="2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outlineLevel="1">
      <c r="A62" s="45" t="s">
        <v>109</v>
      </c>
      <c r="B62" s="24">
        <f t="shared" si="11"/>
        <v>1.5</v>
      </c>
      <c r="C62" s="24"/>
      <c r="D62" s="25"/>
      <c r="E62" s="24"/>
      <c r="F62" s="25">
        <v>12.0</v>
      </c>
      <c r="G62" s="2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outlineLevel="1">
      <c r="A63" s="46" t="s">
        <v>110</v>
      </c>
      <c r="B63" s="24">
        <f t="shared" si="11"/>
        <v>1.5</v>
      </c>
      <c r="C63" s="24"/>
      <c r="D63" s="25"/>
      <c r="E63" s="24"/>
      <c r="F63" s="25">
        <v>12.0</v>
      </c>
      <c r="G63" s="2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outlineLevel="1">
      <c r="A64" s="45" t="s">
        <v>111</v>
      </c>
      <c r="B64" s="24">
        <f t="shared" si="11"/>
        <v>2</v>
      </c>
      <c r="C64" s="25">
        <v>4.0</v>
      </c>
      <c r="D64" s="25">
        <v>4.0</v>
      </c>
      <c r="E64" s="24"/>
      <c r="F64" s="25">
        <v>8.0</v>
      </c>
      <c r="G64" s="2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outlineLevel="1">
      <c r="A65" s="31" t="s">
        <v>112</v>
      </c>
      <c r="B65" s="22">
        <f>SUM(B66:B69)</f>
        <v>6</v>
      </c>
      <c r="C65" s="23" t="s">
        <v>10</v>
      </c>
      <c r="D65" s="23" t="s">
        <v>19</v>
      </c>
      <c r="E65" s="23" t="s">
        <v>21</v>
      </c>
      <c r="F65" s="23" t="s">
        <v>22</v>
      </c>
      <c r="G65" s="23" t="s">
        <v>23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45" t="s">
        <v>113</v>
      </c>
      <c r="B66" s="24">
        <f t="shared" ref="B66:B69" si="12">SUM(C66:G66)/8</f>
        <v>2</v>
      </c>
      <c r="C66" s="25">
        <v>4.0</v>
      </c>
      <c r="D66" s="25">
        <v>4.0</v>
      </c>
      <c r="E66" s="25">
        <v>4.0</v>
      </c>
      <c r="F66" s="25">
        <v>4.0</v>
      </c>
      <c r="G66" s="2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outlineLevel="1">
      <c r="A67" s="45" t="s">
        <v>114</v>
      </c>
      <c r="B67" s="24">
        <f t="shared" si="12"/>
        <v>2</v>
      </c>
      <c r="C67" s="25">
        <v>8.0</v>
      </c>
      <c r="D67" s="25">
        <v>8.0</v>
      </c>
      <c r="E67" s="24"/>
      <c r="F67" s="24"/>
      <c r="G67" s="2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outlineLevel="1">
      <c r="A68" s="45" t="s">
        <v>115</v>
      </c>
      <c r="B68" s="24">
        <f t="shared" si="12"/>
        <v>1</v>
      </c>
      <c r="C68" s="24"/>
      <c r="D68" s="25">
        <v>8.0</v>
      </c>
      <c r="E68" s="24"/>
      <c r="F68" s="24"/>
      <c r="G68" s="2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outlineLevel="1">
      <c r="A69" s="45" t="s">
        <v>116</v>
      </c>
      <c r="B69" s="24">
        <f t="shared" si="12"/>
        <v>1</v>
      </c>
      <c r="C69" s="25">
        <v>8.0</v>
      </c>
      <c r="D69" s="24"/>
      <c r="E69" s="24"/>
      <c r="F69" s="24"/>
      <c r="G69" s="2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2">
        <f>B65+B59+B16+B10+B5</f>
        <v>76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4.25" customHeight="1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4.25" customHeight="1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4.25" customHeight="1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4.25" customHeight="1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4.25" customHeight="1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4.25" customHeight="1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4.25" customHeight="1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4.25" customHeight="1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3">
    <mergeCell ref="A2:D2"/>
    <mergeCell ref="I3:J3"/>
    <mergeCell ref="C4:G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23.43"/>
    <col customWidth="1" min="9" max="9" width="31.14"/>
    <col customWidth="1" min="10" max="10" width="16.0"/>
    <col customWidth="1" min="11" max="11" width="15.29"/>
    <col customWidth="1" min="12" max="26" width="10.71"/>
  </cols>
  <sheetData>
    <row r="1" ht="14.25" customHeight="1"/>
    <row r="2" ht="14.25" customHeight="1">
      <c r="A2" s="3" t="s">
        <v>0</v>
      </c>
      <c r="B2" s="3" t="s">
        <v>1</v>
      </c>
      <c r="C2" s="3" t="s">
        <v>2</v>
      </c>
      <c r="D2" s="5" t="s">
        <v>4</v>
      </c>
      <c r="E2" s="3" t="s">
        <v>5</v>
      </c>
      <c r="F2" s="3" t="s">
        <v>6</v>
      </c>
      <c r="H2" s="8" t="s">
        <v>7</v>
      </c>
      <c r="I2" s="9"/>
      <c r="J2" s="9"/>
      <c r="K2" s="10"/>
    </row>
    <row r="3" ht="14.25" customHeight="1">
      <c r="A3" s="11" t="s">
        <v>9</v>
      </c>
      <c r="B3" s="11" t="s">
        <v>10</v>
      </c>
      <c r="C3" s="11" t="str">
        <f t="shared" ref="C3:D3" si="1">I4</f>
        <v>Juan Miranda</v>
      </c>
      <c r="D3" s="17">
        <f t="shared" si="1"/>
        <v>11904.7619</v>
      </c>
      <c r="E3" s="19">
        <f>SUM(EDT!C6:C9)</f>
        <v>28</v>
      </c>
      <c r="F3" s="21">
        <f t="shared" ref="F3:F7" si="3">D3*E3</f>
        <v>333333.3333</v>
      </c>
      <c r="H3" s="3" t="s">
        <v>1</v>
      </c>
      <c r="I3" s="3" t="s">
        <v>2</v>
      </c>
      <c r="J3" s="3" t="s">
        <v>17</v>
      </c>
      <c r="K3" s="3" t="s">
        <v>18</v>
      </c>
    </row>
    <row r="4" ht="14.25" customHeight="1">
      <c r="A4" s="11" t="s">
        <v>20</v>
      </c>
      <c r="B4" s="11" t="s">
        <v>19</v>
      </c>
      <c r="C4" s="11" t="str">
        <f t="shared" ref="C4:D4" si="2">I5</f>
        <v>Francisco Lobos</v>
      </c>
      <c r="D4" s="17">
        <f t="shared" si="2"/>
        <v>7738.095238</v>
      </c>
      <c r="E4" s="19">
        <f>SUM(EDT!D6:D9)</f>
        <v>16</v>
      </c>
      <c r="F4" s="21">
        <f t="shared" si="3"/>
        <v>123809.5238</v>
      </c>
      <c r="H4" s="11" t="s">
        <v>10</v>
      </c>
      <c r="I4" s="25" t="str">
        <f>EDT!J5</f>
        <v>Juan Miranda</v>
      </c>
      <c r="J4" s="27">
        <f t="shared" ref="J4:J8" si="5">K4/168</f>
        <v>11904.7619</v>
      </c>
      <c r="K4" s="29">
        <v>2000000.0</v>
      </c>
    </row>
    <row r="5" ht="14.25" customHeight="1">
      <c r="A5" s="11" t="s">
        <v>21</v>
      </c>
      <c r="B5" s="11" t="s">
        <v>26</v>
      </c>
      <c r="C5" s="11" t="str">
        <f t="shared" ref="C5:D5" si="4">I6</f>
        <v>Matias Pizarro</v>
      </c>
      <c r="D5" s="17">
        <f t="shared" si="4"/>
        <v>9523.809524</v>
      </c>
      <c r="E5" s="19">
        <f>SUM(EDT!E6:E9)</f>
        <v>4</v>
      </c>
      <c r="F5" s="21">
        <f t="shared" si="3"/>
        <v>38095.2381</v>
      </c>
      <c r="H5" s="11" t="s">
        <v>19</v>
      </c>
      <c r="I5" s="25" t="str">
        <f>EDT!J6</f>
        <v>Francisco Lobos</v>
      </c>
      <c r="J5" s="27">
        <f t="shared" si="5"/>
        <v>7738.095238</v>
      </c>
      <c r="K5" s="29">
        <v>1300000.0</v>
      </c>
    </row>
    <row r="6" ht="14.25" customHeight="1">
      <c r="A6" s="11" t="s">
        <v>22</v>
      </c>
      <c r="B6" s="11" t="s">
        <v>31</v>
      </c>
      <c r="C6" s="11" t="str">
        <f t="shared" ref="C6:D6" si="6">I7</f>
        <v>Francisco Gonzalez</v>
      </c>
      <c r="D6" s="17">
        <f t="shared" si="6"/>
        <v>6547.619048</v>
      </c>
      <c r="E6" s="19">
        <f>SUM(EDT!F6:F9)</f>
        <v>4</v>
      </c>
      <c r="F6" s="21">
        <f t="shared" si="3"/>
        <v>26190.47619</v>
      </c>
      <c r="H6" s="11" t="s">
        <v>36</v>
      </c>
      <c r="I6" s="25" t="str">
        <f>EDT!J7</f>
        <v>Matias Pizarro</v>
      </c>
      <c r="J6" s="27">
        <f t="shared" si="5"/>
        <v>9523.809524</v>
      </c>
      <c r="K6" s="29">
        <v>1600000.0</v>
      </c>
    </row>
    <row r="7" ht="14.25" customHeight="1">
      <c r="A7" s="11" t="s">
        <v>38</v>
      </c>
      <c r="B7" s="11" t="s">
        <v>23</v>
      </c>
      <c r="C7" s="11" t="str">
        <f t="shared" ref="C7:D7" si="7">I8</f>
        <v>Enrique Sanchez</v>
      </c>
      <c r="D7" s="17">
        <f t="shared" si="7"/>
        <v>5357.142857</v>
      </c>
      <c r="E7" s="19">
        <f>SUM(EDT!G6:G9)</f>
        <v>4</v>
      </c>
      <c r="F7" s="21">
        <f t="shared" si="3"/>
        <v>21428.57143</v>
      </c>
      <c r="H7" s="11" t="s">
        <v>31</v>
      </c>
      <c r="I7" s="25" t="str">
        <f>EDT!J8</f>
        <v>Francisco Gonzalez</v>
      </c>
      <c r="J7" s="27">
        <f t="shared" si="5"/>
        <v>6547.619048</v>
      </c>
      <c r="K7" s="29">
        <v>1100000.0</v>
      </c>
    </row>
    <row r="8" ht="14.25" customHeight="1">
      <c r="A8" s="11"/>
      <c r="B8" s="32" t="s">
        <v>41</v>
      </c>
      <c r="C8" s="11" t="str">
        <f t="shared" ref="C8:D8" si="8">I9</f>
        <v/>
      </c>
      <c r="D8" s="11" t="str">
        <f t="shared" si="8"/>
        <v/>
      </c>
      <c r="E8" s="35"/>
      <c r="F8" s="21">
        <f>SUM(F3:F7)</f>
        <v>542857.1429</v>
      </c>
      <c r="H8" s="11" t="s">
        <v>23</v>
      </c>
      <c r="I8" s="25" t="str">
        <f>EDT!J9</f>
        <v>Enrique Sanchez</v>
      </c>
      <c r="J8" s="27">
        <f t="shared" si="5"/>
        <v>5357.142857</v>
      </c>
      <c r="K8" s="29">
        <v>900000.0</v>
      </c>
    </row>
    <row r="9" ht="14.25" customHeight="1"/>
    <row r="10" ht="14.25" customHeight="1"/>
    <row r="11" ht="14.25" customHeight="1">
      <c r="A11" s="3" t="s">
        <v>0</v>
      </c>
      <c r="B11" s="3" t="s">
        <v>1</v>
      </c>
      <c r="C11" s="3" t="s">
        <v>2</v>
      </c>
      <c r="D11" s="5" t="s">
        <v>45</v>
      </c>
      <c r="E11" s="3" t="s">
        <v>5</v>
      </c>
      <c r="F11" s="3" t="s">
        <v>46</v>
      </c>
      <c r="H11" s="8" t="s">
        <v>47</v>
      </c>
      <c r="I11" s="10"/>
    </row>
    <row r="12" ht="14.25" customHeight="1">
      <c r="A12" s="11" t="s">
        <v>9</v>
      </c>
      <c r="B12" s="11" t="s">
        <v>10</v>
      </c>
      <c r="C12" s="11" t="str">
        <f t="shared" ref="C12:D12" si="9">I4</f>
        <v>Juan Miranda</v>
      </c>
      <c r="D12" s="17">
        <f t="shared" si="9"/>
        <v>11904.7619</v>
      </c>
      <c r="E12" s="19">
        <f>SUM(EDT!C11:C15)</f>
        <v>60</v>
      </c>
      <c r="F12" s="21">
        <f t="shared" ref="F12:F16" si="11">D12*E12</f>
        <v>714285.7143</v>
      </c>
      <c r="H12" s="11" t="s">
        <v>10</v>
      </c>
      <c r="I12" s="21">
        <f t="shared" ref="I12:I16" si="12">F3+F12+F21+F30+F39</f>
        <v>1380952.381</v>
      </c>
    </row>
    <row r="13" ht="14.25" customHeight="1">
      <c r="A13" s="11" t="s">
        <v>20</v>
      </c>
      <c r="B13" s="11" t="s">
        <v>19</v>
      </c>
      <c r="C13" s="11" t="str">
        <f t="shared" ref="C13:D13" si="10">I5</f>
        <v>Francisco Lobos</v>
      </c>
      <c r="D13" s="17">
        <f t="shared" si="10"/>
        <v>7738.095238</v>
      </c>
      <c r="E13" s="19">
        <f>SUM(EDT!D11:D15)</f>
        <v>28</v>
      </c>
      <c r="F13" s="21">
        <f t="shared" si="11"/>
        <v>216666.6667</v>
      </c>
      <c r="H13" s="11" t="s">
        <v>19</v>
      </c>
      <c r="I13" s="21">
        <f t="shared" si="12"/>
        <v>2042857.143</v>
      </c>
    </row>
    <row r="14" ht="14.25" customHeight="1">
      <c r="A14" s="11" t="s">
        <v>21</v>
      </c>
      <c r="B14" s="11" t="s">
        <v>26</v>
      </c>
      <c r="C14" s="11" t="str">
        <f t="shared" ref="C14:D14" si="13">I6</f>
        <v>Matias Pizarro</v>
      </c>
      <c r="D14" s="17">
        <f t="shared" si="13"/>
        <v>9523.809524</v>
      </c>
      <c r="E14" s="19">
        <f>SUM(EDT!E11:E15)</f>
        <v>0</v>
      </c>
      <c r="F14" s="21">
        <f t="shared" si="11"/>
        <v>0</v>
      </c>
      <c r="H14" s="11" t="s">
        <v>36</v>
      </c>
      <c r="I14" s="21">
        <f t="shared" si="12"/>
        <v>266666.6667</v>
      </c>
    </row>
    <row r="15" ht="14.25" customHeight="1">
      <c r="A15" s="11" t="s">
        <v>22</v>
      </c>
      <c r="B15" s="11" t="s">
        <v>31</v>
      </c>
      <c r="C15" s="11" t="str">
        <f t="shared" ref="C15:D15" si="14">I7</f>
        <v>Francisco Gonzalez</v>
      </c>
      <c r="D15" s="17">
        <f t="shared" si="14"/>
        <v>6547.619048</v>
      </c>
      <c r="E15" s="19">
        <f>SUM(EDT!F11:F15)</f>
        <v>0</v>
      </c>
      <c r="F15" s="21">
        <f t="shared" si="11"/>
        <v>0</v>
      </c>
      <c r="H15" s="11" t="s">
        <v>31</v>
      </c>
      <c r="I15" s="21">
        <f t="shared" si="12"/>
        <v>445238.0952</v>
      </c>
    </row>
    <row r="16" ht="14.25" customHeight="1">
      <c r="A16" s="11" t="s">
        <v>38</v>
      </c>
      <c r="B16" s="11" t="s">
        <v>23</v>
      </c>
      <c r="C16" s="11" t="str">
        <f t="shared" ref="C16:D16" si="15">I8</f>
        <v>Enrique Sanchez</v>
      </c>
      <c r="D16" s="17">
        <f t="shared" si="15"/>
        <v>5357.142857</v>
      </c>
      <c r="E16" s="19">
        <f>SUM(EDT!G11:G15)</f>
        <v>24</v>
      </c>
      <c r="F16" s="21">
        <f t="shared" si="11"/>
        <v>128571.4286</v>
      </c>
      <c r="H16" s="11" t="s">
        <v>23</v>
      </c>
      <c r="I16" s="21">
        <f t="shared" si="12"/>
        <v>707142.8571</v>
      </c>
    </row>
    <row r="17" ht="14.25" customHeight="1">
      <c r="A17" s="11"/>
      <c r="B17" s="32" t="s">
        <v>56</v>
      </c>
      <c r="C17" s="11" t="str">
        <f t="shared" ref="C17:D17" si="16">I9</f>
        <v/>
      </c>
      <c r="D17" s="11" t="str">
        <f t="shared" si="16"/>
        <v/>
      </c>
      <c r="E17" s="35"/>
      <c r="F17" s="21">
        <f>SUM(F12:F16)</f>
        <v>1059523.81</v>
      </c>
      <c r="H17" s="41" t="s">
        <v>58</v>
      </c>
      <c r="I17" s="42">
        <f>SUM(I12:I16)</f>
        <v>4842857.143</v>
      </c>
    </row>
    <row r="18" ht="14.25" customHeight="1"/>
    <row r="19" ht="14.25" customHeight="1"/>
    <row r="20" ht="14.25" customHeight="1">
      <c r="A20" s="3" t="s">
        <v>0</v>
      </c>
      <c r="B20" s="3" t="s">
        <v>1</v>
      </c>
      <c r="C20" s="3" t="s">
        <v>2</v>
      </c>
      <c r="D20" s="5" t="s">
        <v>45</v>
      </c>
      <c r="E20" s="3" t="s">
        <v>5</v>
      </c>
      <c r="F20" s="3" t="s">
        <v>60</v>
      </c>
      <c r="H20" s="8" t="s">
        <v>61</v>
      </c>
      <c r="I20" s="10"/>
    </row>
    <row r="21" ht="14.25" customHeight="1">
      <c r="A21" s="11" t="s">
        <v>9</v>
      </c>
      <c r="B21" s="11" t="s">
        <v>10</v>
      </c>
      <c r="C21" s="11" t="str">
        <f t="shared" ref="C21:D21" si="17">I4</f>
        <v>Juan Miranda</v>
      </c>
      <c r="D21" s="17">
        <f t="shared" si="17"/>
        <v>11904.7619</v>
      </c>
      <c r="E21" s="19">
        <f>SUM(EDT!C18:C58)</f>
        <v>0</v>
      </c>
      <c r="F21" s="21">
        <f t="shared" ref="F21:F25" si="19">D21*E21</f>
        <v>0</v>
      </c>
      <c r="H21" s="11" t="s">
        <v>16</v>
      </c>
      <c r="I21" s="21">
        <f>F8</f>
        <v>542857.1429</v>
      </c>
    </row>
    <row r="22" ht="14.25" customHeight="1">
      <c r="A22" s="11" t="s">
        <v>20</v>
      </c>
      <c r="B22" s="11" t="s">
        <v>19</v>
      </c>
      <c r="C22" s="11" t="str">
        <f t="shared" ref="C22:D22" si="18">I5</f>
        <v>Francisco Lobos</v>
      </c>
      <c r="D22" s="17">
        <f t="shared" si="18"/>
        <v>7738.095238</v>
      </c>
      <c r="E22" s="19">
        <f>SUM(EDT!D18:D58)</f>
        <v>192</v>
      </c>
      <c r="F22" s="21">
        <f t="shared" si="19"/>
        <v>1485714.286</v>
      </c>
      <c r="H22" s="11" t="s">
        <v>65</v>
      </c>
      <c r="I22" s="21">
        <f>F17</f>
        <v>1059523.81</v>
      </c>
    </row>
    <row r="23" ht="14.25" customHeight="1">
      <c r="A23" s="11" t="s">
        <v>21</v>
      </c>
      <c r="B23" s="11" t="s">
        <v>26</v>
      </c>
      <c r="C23" s="11" t="str">
        <f t="shared" ref="C23:D23" si="20">I6</f>
        <v>Matias Pizarro</v>
      </c>
      <c r="D23" s="17">
        <f t="shared" si="20"/>
        <v>9523.809524</v>
      </c>
      <c r="E23" s="19">
        <f>SUM(EDT!E18:E58)</f>
        <v>16</v>
      </c>
      <c r="F23" s="21">
        <f t="shared" si="19"/>
        <v>152380.9524</v>
      </c>
      <c r="H23" s="11" t="s">
        <v>44</v>
      </c>
      <c r="I23" s="21">
        <f>F26</f>
        <v>2195238.095</v>
      </c>
    </row>
    <row r="24" ht="14.25" customHeight="1">
      <c r="A24" s="11" t="s">
        <v>22</v>
      </c>
      <c r="B24" s="11" t="s">
        <v>31</v>
      </c>
      <c r="C24" s="11" t="str">
        <f t="shared" ref="C24:D24" si="21">I7</f>
        <v>Francisco Gonzalez</v>
      </c>
      <c r="D24" s="17">
        <f t="shared" si="21"/>
        <v>6547.619048</v>
      </c>
      <c r="E24" s="19">
        <f>SUM(EDT!F18:F58)</f>
        <v>0</v>
      </c>
      <c r="F24" s="21">
        <f t="shared" si="19"/>
        <v>0</v>
      </c>
      <c r="H24" s="11" t="s">
        <v>68</v>
      </c>
      <c r="I24" s="21">
        <f>F35</f>
        <v>588095.2381</v>
      </c>
    </row>
    <row r="25" ht="14.25" customHeight="1">
      <c r="A25" s="11" t="s">
        <v>38</v>
      </c>
      <c r="B25" s="11" t="s">
        <v>23</v>
      </c>
      <c r="C25" s="11" t="str">
        <f t="shared" ref="C25:D25" si="22">I8</f>
        <v>Enrique Sanchez</v>
      </c>
      <c r="D25" s="17">
        <f t="shared" si="22"/>
        <v>5357.142857</v>
      </c>
      <c r="E25" s="19">
        <f>SUM(EDT!G18:G58)</f>
        <v>104</v>
      </c>
      <c r="F25" s="21">
        <f t="shared" si="19"/>
        <v>557142.8571</v>
      </c>
      <c r="H25" s="11" t="s">
        <v>71</v>
      </c>
      <c r="I25" s="21">
        <f>F44</f>
        <v>457142.8571</v>
      </c>
    </row>
    <row r="26" ht="14.25" customHeight="1">
      <c r="A26" s="11"/>
      <c r="B26" s="32" t="s">
        <v>72</v>
      </c>
      <c r="C26" s="11" t="str">
        <f t="shared" ref="C26:D26" si="23">I9</f>
        <v/>
      </c>
      <c r="D26" s="11" t="str">
        <f t="shared" si="23"/>
        <v/>
      </c>
      <c r="E26" s="35"/>
      <c r="F26" s="21">
        <f>SUM(F21:F25)</f>
        <v>2195238.095</v>
      </c>
      <c r="H26" s="41" t="s">
        <v>74</v>
      </c>
      <c r="I26" s="42">
        <f>SUM(I21:I25)</f>
        <v>4842857.143</v>
      </c>
    </row>
    <row r="27" ht="14.25" customHeight="1"/>
    <row r="28" ht="14.25" customHeight="1"/>
    <row r="29" ht="14.25" customHeight="1">
      <c r="A29" s="3" t="s">
        <v>0</v>
      </c>
      <c r="B29" s="3" t="s">
        <v>1</v>
      </c>
      <c r="C29" s="3" t="s">
        <v>2</v>
      </c>
      <c r="D29" s="5" t="s">
        <v>45</v>
      </c>
      <c r="E29" s="3" t="s">
        <v>5</v>
      </c>
      <c r="F29" s="3" t="s">
        <v>75</v>
      </c>
      <c r="H29" s="3" t="s">
        <v>76</v>
      </c>
      <c r="I29" s="43">
        <v>0.6</v>
      </c>
    </row>
    <row r="30" ht="14.25" customHeight="1">
      <c r="A30" s="11" t="s">
        <v>9</v>
      </c>
      <c r="B30" s="11" t="s">
        <v>10</v>
      </c>
      <c r="C30" s="11" t="str">
        <f t="shared" ref="C30:D30" si="24">I4</f>
        <v>Juan Miranda</v>
      </c>
      <c r="D30" s="17">
        <f t="shared" si="24"/>
        <v>11904.7619</v>
      </c>
      <c r="E30" s="19">
        <f>SUM(EDT!C60:C64)</f>
        <v>8</v>
      </c>
      <c r="F30" s="21">
        <f t="shared" ref="F30:F34" si="26">D30*E30</f>
        <v>95238.09524</v>
      </c>
      <c r="H30" s="11" t="s">
        <v>79</v>
      </c>
      <c r="I30" s="21">
        <f>I26*I29</f>
        <v>2905714.286</v>
      </c>
    </row>
    <row r="31" ht="14.25" customHeight="1">
      <c r="A31" s="11" t="s">
        <v>20</v>
      </c>
      <c r="B31" s="11" t="s">
        <v>19</v>
      </c>
      <c r="C31" s="11" t="str">
        <f t="shared" ref="C31:D31" si="25">I5</f>
        <v>Francisco Lobos</v>
      </c>
      <c r="D31" s="17">
        <f t="shared" si="25"/>
        <v>7738.095238</v>
      </c>
      <c r="E31" s="19">
        <f>SUM(EDT!D60:D64)</f>
        <v>8</v>
      </c>
      <c r="F31" s="21">
        <f t="shared" si="26"/>
        <v>61904.7619</v>
      </c>
      <c r="H31" s="11" t="s">
        <v>82</v>
      </c>
      <c r="I31" s="21">
        <f>ROUND(I26+I30,-4)</f>
        <v>7750000</v>
      </c>
    </row>
    <row r="32" ht="14.25" customHeight="1">
      <c r="A32" s="11" t="s">
        <v>21</v>
      </c>
      <c r="B32" s="11" t="s">
        <v>26</v>
      </c>
      <c r="C32" s="11" t="str">
        <f t="shared" ref="C32:D32" si="27">I6</f>
        <v>Matias Pizarro</v>
      </c>
      <c r="D32" s="17">
        <f t="shared" si="27"/>
        <v>9523.809524</v>
      </c>
      <c r="E32" s="19">
        <f>SUM(EDT!E60:E64)</f>
        <v>4</v>
      </c>
      <c r="F32" s="21">
        <f t="shared" si="26"/>
        <v>38095.2381</v>
      </c>
    </row>
    <row r="33" ht="14.25" customHeight="1">
      <c r="A33" s="11" t="s">
        <v>22</v>
      </c>
      <c r="B33" s="11" t="s">
        <v>31</v>
      </c>
      <c r="C33" s="11" t="str">
        <f t="shared" ref="C33:D33" si="28">I7</f>
        <v>Francisco Gonzalez</v>
      </c>
      <c r="D33" s="17">
        <f t="shared" si="28"/>
        <v>6547.619048</v>
      </c>
      <c r="E33" s="19">
        <f>SUM(EDT!F60:F64)</f>
        <v>60</v>
      </c>
      <c r="F33" s="21">
        <f t="shared" si="26"/>
        <v>392857.1429</v>
      </c>
    </row>
    <row r="34" ht="14.25" customHeight="1">
      <c r="A34" s="11" t="s">
        <v>38</v>
      </c>
      <c r="B34" s="11" t="s">
        <v>23</v>
      </c>
      <c r="C34" s="11" t="str">
        <f t="shared" ref="C34:D34" si="29">I8</f>
        <v>Enrique Sanchez</v>
      </c>
      <c r="D34" s="17">
        <f t="shared" si="29"/>
        <v>5357.142857</v>
      </c>
      <c r="E34" s="19">
        <f>SUM(EDT!G60:G64)</f>
        <v>0</v>
      </c>
      <c r="F34" s="21">
        <f t="shared" si="26"/>
        <v>0</v>
      </c>
    </row>
    <row r="35" ht="14.25" customHeight="1">
      <c r="A35" s="11"/>
      <c r="B35" s="32" t="s">
        <v>86</v>
      </c>
      <c r="C35" s="44"/>
      <c r="D35" s="11" t="str">
        <f>J9</f>
        <v/>
      </c>
      <c r="E35" s="35"/>
      <c r="F35" s="21">
        <f>SUM(F30:F34)</f>
        <v>588095.2381</v>
      </c>
    </row>
    <row r="36" ht="14.25" customHeight="1"/>
    <row r="37" ht="14.25" customHeight="1"/>
    <row r="38" ht="14.25" customHeight="1">
      <c r="A38" s="3" t="s">
        <v>0</v>
      </c>
      <c r="B38" s="3" t="s">
        <v>1</v>
      </c>
      <c r="C38" s="3" t="s">
        <v>2</v>
      </c>
      <c r="D38" s="5" t="s">
        <v>45</v>
      </c>
      <c r="E38" s="3" t="s">
        <v>5</v>
      </c>
      <c r="F38" s="5" t="s">
        <v>91</v>
      </c>
    </row>
    <row r="39" ht="14.25" customHeight="1">
      <c r="A39" s="11" t="s">
        <v>9</v>
      </c>
      <c r="B39" s="11" t="s">
        <v>10</v>
      </c>
      <c r="C39" s="11" t="str">
        <f t="shared" ref="C39:D39" si="30">I4</f>
        <v>Juan Miranda</v>
      </c>
      <c r="D39" s="17">
        <f t="shared" si="30"/>
        <v>11904.7619</v>
      </c>
      <c r="E39" s="19">
        <f>SUM(EDT!C66:C69)</f>
        <v>20</v>
      </c>
      <c r="F39" s="21">
        <f t="shared" ref="F39:F43" si="32">D39*E39</f>
        <v>238095.2381</v>
      </c>
    </row>
    <row r="40" ht="14.25" customHeight="1">
      <c r="A40" s="11" t="s">
        <v>20</v>
      </c>
      <c r="B40" s="11" t="s">
        <v>19</v>
      </c>
      <c r="C40" s="11" t="str">
        <f t="shared" ref="C40:D40" si="31">I5</f>
        <v>Francisco Lobos</v>
      </c>
      <c r="D40" s="17">
        <f t="shared" si="31"/>
        <v>7738.095238</v>
      </c>
      <c r="E40" s="19">
        <f>SUM(EDT!D66:D69)</f>
        <v>20</v>
      </c>
      <c r="F40" s="21">
        <f t="shared" si="32"/>
        <v>154761.9048</v>
      </c>
    </row>
    <row r="41" ht="14.25" customHeight="1">
      <c r="A41" s="11" t="s">
        <v>21</v>
      </c>
      <c r="B41" s="11" t="s">
        <v>26</v>
      </c>
      <c r="C41" s="11" t="str">
        <f t="shared" ref="C41:D41" si="33">I6</f>
        <v>Matias Pizarro</v>
      </c>
      <c r="D41" s="17">
        <f t="shared" si="33"/>
        <v>9523.809524</v>
      </c>
      <c r="E41" s="19">
        <f>SUM(EDT!E66:E69)</f>
        <v>4</v>
      </c>
      <c r="F41" s="21">
        <f t="shared" si="32"/>
        <v>38095.2381</v>
      </c>
    </row>
    <row r="42" ht="14.25" customHeight="1">
      <c r="A42" s="11" t="s">
        <v>22</v>
      </c>
      <c r="B42" s="11" t="s">
        <v>31</v>
      </c>
      <c r="C42" s="11" t="str">
        <f t="shared" ref="C42:D42" si="34">I7</f>
        <v>Francisco Gonzalez</v>
      </c>
      <c r="D42" s="17">
        <f t="shared" si="34"/>
        <v>6547.619048</v>
      </c>
      <c r="E42" s="19">
        <f>SUM(EDT!F66:F69)</f>
        <v>4</v>
      </c>
      <c r="F42" s="21">
        <f t="shared" si="32"/>
        <v>26190.47619</v>
      </c>
    </row>
    <row r="43" ht="14.25" customHeight="1">
      <c r="A43" s="11" t="s">
        <v>38</v>
      </c>
      <c r="B43" s="11" t="s">
        <v>23</v>
      </c>
      <c r="C43" s="11" t="str">
        <f t="shared" ref="C43:D43" si="35">I8</f>
        <v>Enrique Sanchez</v>
      </c>
      <c r="D43" s="17">
        <f t="shared" si="35"/>
        <v>5357.142857</v>
      </c>
      <c r="E43" s="19">
        <f>SUM(EDT!G66:G69)</f>
        <v>0</v>
      </c>
      <c r="F43" s="21">
        <f t="shared" si="32"/>
        <v>0</v>
      </c>
    </row>
    <row r="44" ht="14.25" customHeight="1">
      <c r="A44" s="11"/>
      <c r="B44" s="32" t="s">
        <v>101</v>
      </c>
      <c r="C44" s="44"/>
      <c r="D44" s="11" t="str">
        <f>J9</f>
        <v/>
      </c>
      <c r="E44" s="35"/>
      <c r="F44" s="21">
        <f>SUM(F39:F43)</f>
        <v>457142.8571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H2:K2"/>
    <mergeCell ref="H11:I11"/>
    <mergeCell ref="H20:I2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